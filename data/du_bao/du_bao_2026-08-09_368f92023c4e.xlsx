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hop" sheetId="1" state="visible" r:id="rId1"/>
    <sheet name="Thong tin" sheetId="2" state="visible" r:id="rId2"/>
    <sheet name="Chi tiet 15 phut" sheetId="3" state="visible" r:id="rId3"/>
    <sheet name="Theo nguon thoi tiet" sheetId="4" state="visible" r:id="rId4"/>
  </sheets>
  <definedNames/>
  <calcPr calcId="124519" fullCalcOnLoad="1"/>
</workbook>
</file>

<file path=xl/styles.xml><?xml version="1.0" encoding="utf-8"?>
<styleSheet xmlns="http://schemas.openxmlformats.org/spreadsheetml/2006/main">
  <numFmts count="6">
    <numFmt numFmtId="164" formatCode="yyyy-mm-dd"/>
    <numFmt numFmtId="165" formatCode="dd/mm/yyyy"/>
    <numFmt numFmtId="166" formatCode="0.000"/>
    <numFmt numFmtId="167" formatCode="#,##0.000"/>
    <numFmt numFmtId="168" formatCode="#,##0.0"/>
    <numFmt numFmtId="169" formatCode="0.0%"/>
  </numFmts>
  <fonts count="10">
    <font>
      <name val="Calibri"/>
      <family val="2"/>
      <color theme="1"/>
      <sz val="11"/>
      <scheme val="minor"/>
    </font>
    <font>
      <name val="Arial"/>
      <b val="1"/>
      <color rgb="001F4E79"/>
      <sz val="13"/>
    </font>
    <font>
      <name val="Arial"/>
      <color rgb="00595959"/>
      <sz val="9"/>
    </font>
    <font>
      <name val="Arial"/>
      <b val="1"/>
      <color rgb="001F4E79"/>
      <sz val="10"/>
    </font>
    <font>
      <name val="Arial"/>
      <sz val="10"/>
    </font>
    <font>
      <name val="Arial"/>
      <b val="1"/>
      <color rgb="000000FF"/>
      <sz val="10"/>
    </font>
    <font>
      <name val="Arial"/>
      <b val="1"/>
      <color rgb="00C00000"/>
      <sz val="10"/>
    </font>
    <font>
      <name val="Arial"/>
      <color rgb="00C00000"/>
      <sz val="10"/>
    </font>
    <font>
      <name val="Arial"/>
      <b val="1"/>
      <color rgb="00FFFFFF"/>
      <sz val="10"/>
    </font>
    <font>
      <name val="Arial"/>
      <b val="1"/>
      <sz val="10"/>
    </font>
  </fonts>
  <fills count="4">
    <fill>
      <patternFill/>
    </fill>
    <fill>
      <patternFill patternType="gray125"/>
    </fill>
    <fill>
      <patternFill patternType="solid">
        <fgColor rgb="00F2F6FA"/>
      </patternFill>
    </fill>
    <fill>
      <patternFill patternType="solid">
        <fgColor rgb="001F4E79"/>
      </patternFill>
    </fill>
  </fills>
  <borders count="1">
    <border>
      <left/>
      <right/>
      <top/>
      <bottom/>
      <diagonal/>
    </border>
  </borders>
  <cellStyleXfs count="1">
    <xf numFmtId="0" fontId="0" fillId="0" borderId="0"/>
  </cellStyleXfs>
  <cellXfs count="18">
    <xf numFmtId="0" fontId="0" fillId="0" borderId="0" pivotButton="0" quotePrefix="0" xfId="0"/>
    <xf numFmtId="0" fontId="8" fillId="3" borderId="0" applyAlignment="1" pivotButton="0" quotePrefix="0" xfId="0">
      <alignment horizontal="center" vertical="center" wrapText="1"/>
    </xf>
    <xf numFmtId="165" fontId="4" fillId="0" borderId="0" pivotButton="0" quotePrefix="0" xfId="0"/>
    <xf numFmtId="0" fontId="4" fillId="0" borderId="0" pivotButton="0" quotePrefix="0" xfId="0"/>
    <xf numFmtId="168" fontId="4" fillId="0" borderId="0" pivotButton="0" quotePrefix="0" xfId="0"/>
    <xf numFmtId="4" fontId="4" fillId="0" borderId="0" pivotButton="0" quotePrefix="0" xfId="0"/>
    <xf numFmtId="169" fontId="4" fillId="0" borderId="0" pivotButton="0" quotePrefix="0" xfId="0"/>
    <xf numFmtId="166" fontId="4" fillId="0" borderId="0" pivotButton="0" quotePrefix="0" xfId="0"/>
    <xf numFmtId="0" fontId="9" fillId="0" borderId="0" pivotButton="0" quotePrefix="0" xfId="0"/>
    <xf numFmtId="168" fontId="9" fillId="0" borderId="0" pivotButton="0" quotePrefix="0" xfId="0"/>
    <xf numFmtId="0" fontId="2" fillId="0" borderId="0" pivotButton="0" quotePrefix="0" xfId="0"/>
    <xf numFmtId="0" fontId="1" fillId="0" borderId="0" pivotButton="0" quotePrefix="0" xfId="0"/>
    <xf numFmtId="0" fontId="3" fillId="0" borderId="0" pivotButton="0" quotePrefix="0" xfId="0"/>
    <xf numFmtId="0" fontId="5" fillId="2" borderId="0" pivotButton="0" quotePrefix="0" xfId="0"/>
    <xf numFmtId="0" fontId="6" fillId="0" borderId="0" pivotButton="0" quotePrefix="0" xfId="0"/>
    <xf numFmtId="0" fontId="7" fillId="0" borderId="0" pivotButton="0" quotePrefix="0" xfId="0"/>
    <xf numFmtId="3" fontId="4" fillId="0" borderId="0" pivotButton="0" quotePrefix="0" xfId="0"/>
    <xf numFmtId="167"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9" customWidth="1" min="3" max="3"/>
    <col width="21" customWidth="1" min="4" max="4"/>
    <col width="19" customWidth="1" min="5" max="5"/>
    <col width="20" customWidth="1" min="6" max="6"/>
    <col width="13" customWidth="1" min="7" max="7"/>
    <col width="11" customWidth="1" min="8" max="8"/>
    <col width="27" customWidth="1" min="9" max="9"/>
    <col width="24" customWidth="1" min="10" max="10"/>
  </cols>
  <sheetData>
    <row r="1" ht="30" customHeight="1">
      <c r="A1" s="1" t="inlineStr">
        <is>
          <t>Ngay</t>
        </is>
      </c>
      <c r="B1" s="1" t="inlineStr">
        <is>
          <t>Thu</t>
        </is>
      </c>
      <c r="C1" s="1" t="inlineStr">
        <is>
          <t>San luong phat (MWh)</t>
        </is>
      </c>
      <c r="D1" s="1" t="inlineStr">
        <is>
          <t>Tu dung ban dem (MWh)</t>
        </is>
      </c>
      <c r="E1" s="1" t="inlineStr">
        <is>
          <t>San luong rong (MWh)</t>
        </is>
      </c>
      <c r="F1" s="1" t="inlineStr">
        <is>
          <t>Cong suat dinh (MW)</t>
        </is>
      </c>
      <c r="G1" s="1" t="inlineStr">
        <is>
          <t>Gio dat dinh</t>
        </is>
      </c>
      <c r="H1" s="1" t="inlineStr">
        <is>
          <t>He so tai</t>
        </is>
      </c>
      <c r="I1" s="1" t="inlineStr">
        <is>
          <t>Chi so troi quang trung binh</t>
        </is>
      </c>
      <c r="J1" s="1" t="inlineStr">
        <is>
          <t>Tan giua cac nguon (MWh)</t>
        </is>
      </c>
    </row>
    <row r="2">
      <c r="A2" s="2" t="n">
        <v>46243</v>
      </c>
      <c r="B2" s="3" t="inlineStr">
        <is>
          <t>Chu nhat</t>
        </is>
      </c>
      <c r="C2" s="4">
        <f>SUMIF('Chi tiet 15 phut'!F2:F97,"&gt;0")</f>
        <v/>
      </c>
      <c r="D2" s="4">
        <f>SUMIF('Chi tiet 15 phut'!F2:F97,"&lt;0")</f>
        <v/>
      </c>
      <c r="E2" s="4">
        <f>C2+D2</f>
        <v/>
      </c>
      <c r="F2" s="5">
        <f>MAX('Chi tiet 15 phut'!E2:E97)</f>
        <v/>
      </c>
      <c r="G2" s="3">
        <f>INDEX('Chi tiet 15 phut'!$B$2:$B$97,MATCH(F2,'Chi tiet 15 phut'!$E$2:$E$97,0))</f>
        <v/>
      </c>
      <c r="H2" s="6">
        <f>C2/('Thong tin'!$B$5*24)</f>
        <v/>
      </c>
      <c r="I2" s="7">
        <f>IFERROR(AVERAGEIF('Chi tiet 15 phut'!$D$2:$D$97,"&gt;0.001"),0)</f>
        <v/>
      </c>
      <c r="J2" s="4" t="n">
        <v>87.59999999999999</v>
      </c>
    </row>
    <row r="3">
      <c r="B3" s="8" t="inlineStr">
        <is>
          <t>Tong</t>
        </is>
      </c>
      <c r="C3" s="9">
        <f>SUM(C2:C2)</f>
        <v/>
      </c>
      <c r="D3" s="9">
        <f>SUM(D2:D2)</f>
        <v/>
      </c>
      <c r="E3" s="9">
        <f>SUM(E2:E2)</f>
        <v/>
      </c>
    </row>
    <row r="5">
      <c r="A5" s="10" t="inlineStr">
        <is>
          <t>Moi con so trong bang nay la cong thuc tro ve trang 'Chi tiet 15 phut'; he so tai chia cho cong suat dat o trang 'Thong tin' o B5. Sua bang chi tiet thi bang nay tu doi theo.</t>
        </is>
      </c>
    </row>
    <row r="6">
      <c r="A6" s="10" t="inlineStr">
        <is>
          <t>San luong phat = tong cac o co cong suat duong. Tu dung ban dem = tong cac o am, la muc cong suat nen ban dem uoc luong tu chinh so lieu nha may. He so tai tinh theo san luong PHAT de khop voi con so hien tren giao dien web.</t>
        </is>
      </c>
    </row>
    <row r="7">
      <c r="A7" s="10" t="inlineStr">
        <is>
          <t>Tan giua cac nguon la khoang cach giua mo hinh thoi tiet cho san luong cao nhat va thap nhat. Tan rong = ngay kho du bao, khong phai ngay it nang.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8" customWidth="1" min="1" max="1"/>
    <col width="62" customWidth="1" min="2" max="2"/>
  </cols>
  <sheetData>
    <row r="1">
      <c r="A1" s="11" t="inlineStr">
        <is>
          <t>Du bao cong suat nha may Fujiwara</t>
        </is>
      </c>
    </row>
    <row r="2">
      <c r="A2" s="10" t="inlineStr">
        <is>
          <t>13,8634 do B - 109,2708 do D - 50 MWp mot chieu / 40 MW xoay chieu</t>
        </is>
      </c>
    </row>
    <row r="4">
      <c r="A4" s="12" t="inlineStr">
        <is>
          <t>Gia dinh dung trong cong thuc</t>
        </is>
      </c>
    </row>
    <row r="5">
      <c r="A5" s="3" t="inlineStr">
        <is>
          <t>Cong suat dat xoay chieu (MW)</t>
        </is>
      </c>
      <c r="B5" s="13" t="n">
        <v>40</v>
      </c>
    </row>
    <row r="6">
      <c r="A6" s="3" t="inlineStr">
        <is>
          <t>Buoc thoi gian (gio)</t>
        </is>
      </c>
      <c r="B6" s="13" t="n">
        <v>0.25</v>
      </c>
    </row>
    <row r="7">
      <c r="A7" s="10" t="inlineStr">
        <is>
          <t>(chu xanh = gia tri nhap tay, sua o day thi ca tep doi theo)</t>
        </is>
      </c>
    </row>
    <row r="9">
      <c r="A9" s="12" t="inlineStr">
        <is>
          <t>Mo hinh du bao cong suat</t>
        </is>
      </c>
    </row>
    <row r="10">
      <c r="A10" s="3" t="inlineStr">
        <is>
          <t>Thuat toan</t>
        </is>
      </c>
      <c r="B10" s="3" t="inlineStr">
        <is>
          <t>Gradient Boosting</t>
        </is>
      </c>
    </row>
    <row r="11">
      <c r="A11" s="3" t="inlineStr">
        <is>
          <t>Tep mo hinh</t>
        </is>
      </c>
      <c r="B11" s="3" t="inlineStr">
        <is>
          <t>nha_may_gbm_khong_nhiet.joblib</t>
        </is>
      </c>
    </row>
    <row r="12">
      <c r="A12" s="3" t="inlineStr">
        <is>
          <t>Huan luyen luc (UTC)</t>
        </is>
      </c>
      <c r="B12" s="3" t="inlineStr">
        <is>
          <t>2026-08-07 16:13:33</t>
        </is>
      </c>
    </row>
    <row r="13">
      <c r="A13" s="3" t="inlineStr">
        <is>
          <t>Hoc tu so o ban ngay</t>
        </is>
      </c>
      <c r="B13" s="3" t="n">
        <v>16883</v>
      </c>
    </row>
    <row r="14">
      <c r="A14" s="3" t="inlineStr">
        <is>
          <t>Pham vi du lieu hoc</t>
        </is>
      </c>
      <c r="B14" s="3" t="inlineStr">
        <is>
          <t>2025-07-12 -&gt; 2026-07-17</t>
        </is>
      </c>
    </row>
    <row r="15">
      <c r="A15" s="3" t="inlineStr">
        <is>
          <t>Bien dau vao</t>
        </is>
      </c>
      <c r="B15" s="3" t="inlineStr">
        <is>
          <t>ghi_wm2, sol_elev, sol_ha, ghi_ngoai_kq</t>
        </is>
      </c>
    </row>
    <row r="16">
      <c r="A16" s="3" t="inlineStr">
        <is>
          <t>Van tay du lieu</t>
        </is>
      </c>
      <c r="B16" s="3" t="inlineStr">
        <is>
          <t>c29753f06ecad322af9572a39d7e008464590781edb720ddfbd9a7f7ef2bdd83</t>
        </is>
      </c>
    </row>
    <row r="17">
      <c r="A17" s="3" t="inlineStr">
        <is>
          <t>Trang thai phe duyet</t>
        </is>
      </c>
      <c r="B17" s="3" t="inlineStr">
        <is>
          <t>da_ghi_nhan_CHUA_phe_duyet</t>
        </is>
      </c>
    </row>
    <row r="18">
      <c r="A18" s="3" t="inlineStr">
        <is>
          <t>Du lieu da doi tu luc hoc</t>
        </is>
      </c>
      <c r="B18" s="3" t="inlineStr">
        <is>
          <t>khong</t>
        </is>
      </c>
    </row>
    <row r="20">
      <c r="A20" s="12" t="inlineStr">
        <is>
          <t>Nguon du bao thoi tiet</t>
        </is>
      </c>
    </row>
    <row r="21">
      <c r="A21" s="3" t="inlineStr">
        <is>
          <t>ECMWF IFS 0.25 do</t>
        </is>
      </c>
      <c r="B21" s="3" t="inlineStr">
        <is>
          <t>dung</t>
        </is>
      </c>
    </row>
    <row r="22">
      <c r="A22" s="3" t="inlineStr">
        <is>
          <t>NOAA GFS</t>
        </is>
      </c>
      <c r="B22" s="3" t="inlineStr">
        <is>
          <t>dung</t>
        </is>
      </c>
    </row>
    <row r="23">
      <c r="A23" s="3" t="inlineStr">
        <is>
          <t>DWD ICON</t>
        </is>
      </c>
      <c r="B23" s="3" t="inlineStr">
        <is>
          <t>dung</t>
        </is>
      </c>
    </row>
    <row r="24">
      <c r="A24" s="3" t="inlineStr">
        <is>
          <t>ECMWF AIFS (AI)</t>
        </is>
      </c>
      <c r="B24" s="3" t="inlineStr">
        <is>
          <t>dung</t>
        </is>
      </c>
    </row>
    <row r="25">
      <c r="A25" s="3" t="inlineStr">
        <is>
          <t>Hop nhat bang</t>
        </is>
      </c>
      <c r="B25" s="3" t="inlineStr">
        <is>
          <t>trung vi giua cac mo hinh</t>
        </is>
      </c>
    </row>
    <row r="26">
      <c r="A26" s="3" t="inlineStr">
        <is>
          <t>Lech tam ngay do duoc (phut)</t>
        </is>
      </c>
      <c r="B26" s="3" t="n">
        <v>56</v>
      </c>
    </row>
    <row r="28">
      <c r="A28" s="14" t="inlineStr">
        <is>
          <t>CANH BAO QUAN TRONG</t>
        </is>
      </c>
    </row>
    <row r="29">
      <c r="A29" s="3" t="inlineStr">
        <is>
          <t>Day la du bao dua tren buc xa cua mo hinh thoi tiet (NWP), khong phai buc xa do duoc.</t>
        </is>
      </c>
    </row>
    <row r="30">
      <c r="A30" s="3" t="inlineStr">
        <is>
          <t>Chi so NMAE cua phan danh gia qua khu duoc cham bang buc xa DO DUOC, nen no la tran</t>
        </is>
      </c>
    </row>
    <row r="31">
      <c r="A31" s="3" t="inlineStr">
        <is>
          <t>cua khau doi buc xa sang cong suat -- KHONG phai sai so cua bang du bao nay.</t>
        </is>
      </c>
    </row>
    <row r="32">
      <c r="A32" s="3" t="inlineStr">
        <is>
          <t>Sai so that chi biet duoc sau khi so voi so lieu SCADA cua chinh nhung ngay nay.</t>
        </is>
      </c>
    </row>
    <row r="34">
      <c r="A34" s="15" t="inlineStr">
        <is>
          <t>CANH BAO: Buc xa NWP lech +56 phut so voi hinh hoc mat troi -- co the sai quy uoc nhan thoi gian cua Open-Meteo.</t>
        </is>
      </c>
    </row>
    <row r="36">
      <c r="A36" s="10" t="inlineStr">
        <is>
          <t>Xuat luc 08/08/2026 07:58 - nguon buc xa: Open-Meteo (CC BY 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20" customWidth="1" min="3" max="3"/>
    <col width="17" customWidth="1" min="4" max="4"/>
    <col width="20" customWidth="1" min="5" max="5"/>
    <col width="17" customWidth="1" min="6" max="6"/>
  </cols>
  <sheetData>
    <row r="1" ht="30" customHeight="1">
      <c r="A1" s="1" t="inlineStr">
        <is>
          <t>Ngay</t>
        </is>
      </c>
      <c r="B1" s="1" t="inlineStr">
        <is>
          <t>Gio</t>
        </is>
      </c>
      <c r="C1" s="1" t="inlineStr">
        <is>
          <t>Buc xa du bao (W/m2)</t>
        </is>
      </c>
      <c r="D1" s="1" t="inlineStr">
        <is>
          <t>Chi so troi quang</t>
        </is>
      </c>
      <c r="E1" s="1" t="inlineStr">
        <is>
          <t>Cong suat du bao (MW)</t>
        </is>
      </c>
      <c r="F1" s="1" t="inlineStr">
        <is>
          <t>San luong o (MWh)</t>
        </is>
      </c>
    </row>
    <row r="2">
      <c r="A2" s="2" t="n">
        <v>46243</v>
      </c>
      <c r="B2" s="3" t="inlineStr">
        <is>
          <t>00:00</t>
        </is>
      </c>
      <c r="C2" s="16" t="n">
        <v>0</v>
      </c>
      <c r="D2" s="7" t="n">
        <v>0</v>
      </c>
      <c r="E2" s="17" t="n">
        <v>0.07199999999999999</v>
      </c>
      <c r="F2" s="17">
        <f>E2*'Thong tin'!$B$6</f>
        <v/>
      </c>
    </row>
    <row r="3">
      <c r="A3" s="2" t="n">
        <v>46243</v>
      </c>
      <c r="B3" s="3" t="inlineStr">
        <is>
          <t>00:15</t>
        </is>
      </c>
      <c r="C3" s="16" t="n">
        <v>0</v>
      </c>
      <c r="D3" s="7" t="n">
        <v>0</v>
      </c>
      <c r="E3" s="17" t="n">
        <v>0.07199999999999999</v>
      </c>
      <c r="F3" s="17">
        <f>E3*'Thong tin'!$B$6</f>
        <v/>
      </c>
    </row>
    <row r="4">
      <c r="A4" s="2" t="n">
        <v>46243</v>
      </c>
      <c r="B4" s="3" t="inlineStr">
        <is>
          <t>00:30</t>
        </is>
      </c>
      <c r="C4" s="16" t="n">
        <v>0</v>
      </c>
      <c r="D4" s="7" t="n">
        <v>0</v>
      </c>
      <c r="E4" s="17" t="n">
        <v>0.07199999999999999</v>
      </c>
      <c r="F4" s="17">
        <f>E4*'Thong tin'!$B$6</f>
        <v/>
      </c>
    </row>
    <row r="5">
      <c r="A5" s="2" t="n">
        <v>46243</v>
      </c>
      <c r="B5" s="3" t="inlineStr">
        <is>
          <t>00:45</t>
        </is>
      </c>
      <c r="C5" s="16" t="n">
        <v>0</v>
      </c>
      <c r="D5" s="7" t="n">
        <v>0</v>
      </c>
      <c r="E5" s="17" t="n">
        <v>0.07199999999999999</v>
      </c>
      <c r="F5" s="17">
        <f>E5*'Thong tin'!$B$6</f>
        <v/>
      </c>
    </row>
    <row r="6">
      <c r="A6" s="2" t="n">
        <v>46243</v>
      </c>
      <c r="B6" s="3" t="inlineStr">
        <is>
          <t>01:00</t>
        </is>
      </c>
      <c r="C6" s="16" t="n">
        <v>0</v>
      </c>
      <c r="D6" s="7" t="n">
        <v>0</v>
      </c>
      <c r="E6" s="17" t="n">
        <v>0.07199999999999999</v>
      </c>
      <c r="F6" s="17">
        <f>E6*'Thong tin'!$B$6</f>
        <v/>
      </c>
    </row>
    <row r="7">
      <c r="A7" s="2" t="n">
        <v>46243</v>
      </c>
      <c r="B7" s="3" t="inlineStr">
        <is>
          <t>01:15</t>
        </is>
      </c>
      <c r="C7" s="16" t="n">
        <v>0</v>
      </c>
      <c r="D7" s="7" t="n">
        <v>0</v>
      </c>
      <c r="E7" s="17" t="n">
        <v>0.07199999999999999</v>
      </c>
      <c r="F7" s="17">
        <f>E7*'Thong tin'!$B$6</f>
        <v/>
      </c>
    </row>
    <row r="8">
      <c r="A8" s="2" t="n">
        <v>46243</v>
      </c>
      <c r="B8" s="3" t="inlineStr">
        <is>
          <t>01:30</t>
        </is>
      </c>
      <c r="C8" s="16" t="n">
        <v>0</v>
      </c>
      <c r="D8" s="7" t="n">
        <v>0</v>
      </c>
      <c r="E8" s="17" t="n">
        <v>0.07199999999999999</v>
      </c>
      <c r="F8" s="17">
        <f>E8*'Thong tin'!$B$6</f>
        <v/>
      </c>
    </row>
    <row r="9">
      <c r="A9" s="2" t="n">
        <v>46243</v>
      </c>
      <c r="B9" s="3" t="inlineStr">
        <is>
          <t>01:45</t>
        </is>
      </c>
      <c r="C9" s="16" t="n">
        <v>0</v>
      </c>
      <c r="D9" s="7" t="n">
        <v>0</v>
      </c>
      <c r="E9" s="17" t="n">
        <v>0.07199999999999999</v>
      </c>
      <c r="F9" s="17">
        <f>E9*'Thong tin'!$B$6</f>
        <v/>
      </c>
    </row>
    <row r="10">
      <c r="A10" s="2" t="n">
        <v>46243</v>
      </c>
      <c r="B10" s="3" t="inlineStr">
        <is>
          <t>02:00</t>
        </is>
      </c>
      <c r="C10" s="16" t="n">
        <v>0</v>
      </c>
      <c r="D10" s="7" t="n">
        <v>0</v>
      </c>
      <c r="E10" s="17" t="n">
        <v>0.07199999999999999</v>
      </c>
      <c r="F10" s="17">
        <f>E10*'Thong tin'!$B$6</f>
        <v/>
      </c>
    </row>
    <row r="11">
      <c r="A11" s="2" t="n">
        <v>46243</v>
      </c>
      <c r="B11" s="3" t="inlineStr">
        <is>
          <t>02:15</t>
        </is>
      </c>
      <c r="C11" s="16" t="n">
        <v>0</v>
      </c>
      <c r="D11" s="7" t="n">
        <v>0</v>
      </c>
      <c r="E11" s="17" t="n">
        <v>0.07199999999999999</v>
      </c>
      <c r="F11" s="17">
        <f>E11*'Thong tin'!$B$6</f>
        <v/>
      </c>
    </row>
    <row r="12">
      <c r="A12" s="2" t="n">
        <v>46243</v>
      </c>
      <c r="B12" s="3" t="inlineStr">
        <is>
          <t>02:30</t>
        </is>
      </c>
      <c r="C12" s="16" t="n">
        <v>0</v>
      </c>
      <c r="D12" s="7" t="n">
        <v>0</v>
      </c>
      <c r="E12" s="17" t="n">
        <v>0.07199999999999999</v>
      </c>
      <c r="F12" s="17">
        <f>E12*'Thong tin'!$B$6</f>
        <v/>
      </c>
    </row>
    <row r="13">
      <c r="A13" s="2" t="n">
        <v>46243</v>
      </c>
      <c r="B13" s="3" t="inlineStr">
        <is>
          <t>02:45</t>
        </is>
      </c>
      <c r="C13" s="16" t="n">
        <v>0</v>
      </c>
      <c r="D13" s="7" t="n">
        <v>0</v>
      </c>
      <c r="E13" s="17" t="n">
        <v>0.07199999999999999</v>
      </c>
      <c r="F13" s="17">
        <f>E13*'Thong tin'!$B$6</f>
        <v/>
      </c>
    </row>
    <row r="14">
      <c r="A14" s="2" t="n">
        <v>46243</v>
      </c>
      <c r="B14" s="3" t="inlineStr">
        <is>
          <t>03:00</t>
        </is>
      </c>
      <c r="C14" s="16" t="n">
        <v>0</v>
      </c>
      <c r="D14" s="7" t="n">
        <v>0</v>
      </c>
      <c r="E14" s="17" t="n">
        <v>0.07199999999999999</v>
      </c>
      <c r="F14" s="17">
        <f>E14*'Thong tin'!$B$6</f>
        <v/>
      </c>
    </row>
    <row r="15">
      <c r="A15" s="2" t="n">
        <v>46243</v>
      </c>
      <c r="B15" s="3" t="inlineStr">
        <is>
          <t>03:15</t>
        </is>
      </c>
      <c r="C15" s="16" t="n">
        <v>0</v>
      </c>
      <c r="D15" s="7" t="n">
        <v>0</v>
      </c>
      <c r="E15" s="17" t="n">
        <v>0.07199999999999999</v>
      </c>
      <c r="F15" s="17">
        <f>E15*'Thong tin'!$B$6</f>
        <v/>
      </c>
    </row>
    <row r="16">
      <c r="A16" s="2" t="n">
        <v>46243</v>
      </c>
      <c r="B16" s="3" t="inlineStr">
        <is>
          <t>03:30</t>
        </is>
      </c>
      <c r="C16" s="16" t="n">
        <v>0</v>
      </c>
      <c r="D16" s="7" t="n">
        <v>0</v>
      </c>
      <c r="E16" s="17" t="n">
        <v>0.07199999999999999</v>
      </c>
      <c r="F16" s="17">
        <f>E16*'Thong tin'!$B$6</f>
        <v/>
      </c>
    </row>
    <row r="17">
      <c r="A17" s="2" t="n">
        <v>46243</v>
      </c>
      <c r="B17" s="3" t="inlineStr">
        <is>
          <t>03:45</t>
        </is>
      </c>
      <c r="C17" s="16" t="n">
        <v>0</v>
      </c>
      <c r="D17" s="7" t="n">
        <v>0</v>
      </c>
      <c r="E17" s="17" t="n">
        <v>0.07199999999999999</v>
      </c>
      <c r="F17" s="17">
        <f>E17*'Thong tin'!$B$6</f>
        <v/>
      </c>
    </row>
    <row r="18">
      <c r="A18" s="2" t="n">
        <v>46243</v>
      </c>
      <c r="B18" s="3" t="inlineStr">
        <is>
          <t>04:00</t>
        </is>
      </c>
      <c r="C18" s="16" t="n">
        <v>0</v>
      </c>
      <c r="D18" s="7" t="n">
        <v>0</v>
      </c>
      <c r="E18" s="17" t="n">
        <v>0.07199999999999999</v>
      </c>
      <c r="F18" s="17">
        <f>E18*'Thong tin'!$B$6</f>
        <v/>
      </c>
    </row>
    <row r="19">
      <c r="A19" s="2" t="n">
        <v>46243</v>
      </c>
      <c r="B19" s="3" t="inlineStr">
        <is>
          <t>04:15</t>
        </is>
      </c>
      <c r="C19" s="16" t="n">
        <v>0</v>
      </c>
      <c r="D19" s="7" t="n">
        <v>0</v>
      </c>
      <c r="E19" s="17" t="n">
        <v>0.07199999999999999</v>
      </c>
      <c r="F19" s="17">
        <f>E19*'Thong tin'!$B$6</f>
        <v/>
      </c>
    </row>
    <row r="20">
      <c r="A20" s="2" t="n">
        <v>46243</v>
      </c>
      <c r="B20" s="3" t="inlineStr">
        <is>
          <t>04:30</t>
        </is>
      </c>
      <c r="C20" s="16" t="n">
        <v>0</v>
      </c>
      <c r="D20" s="7" t="n">
        <v>0</v>
      </c>
      <c r="E20" s="17" t="n">
        <v>0.07199999999999999</v>
      </c>
      <c r="F20" s="17">
        <f>E20*'Thong tin'!$B$6</f>
        <v/>
      </c>
    </row>
    <row r="21">
      <c r="A21" s="2" t="n">
        <v>46243</v>
      </c>
      <c r="B21" s="3" t="inlineStr">
        <is>
          <t>04:45</t>
        </is>
      </c>
      <c r="C21" s="16" t="n">
        <v>0</v>
      </c>
      <c r="D21" s="7" t="n">
        <v>0</v>
      </c>
      <c r="E21" s="17" t="n">
        <v>0.07199999999999999</v>
      </c>
      <c r="F21" s="17">
        <f>E21*'Thong tin'!$B$6</f>
        <v/>
      </c>
    </row>
    <row r="22">
      <c r="A22" s="2" t="n">
        <v>46243</v>
      </c>
      <c r="B22" s="3" t="inlineStr">
        <is>
          <t>05:00</t>
        </is>
      </c>
      <c r="C22" s="16" t="n">
        <v>0</v>
      </c>
      <c r="D22" s="7" t="n">
        <v>0</v>
      </c>
      <c r="E22" s="17" t="n">
        <v>0.07199999999999999</v>
      </c>
      <c r="F22" s="17">
        <f>E22*'Thong tin'!$B$6</f>
        <v/>
      </c>
    </row>
    <row r="23">
      <c r="A23" s="2" t="n">
        <v>46243</v>
      </c>
      <c r="B23" s="3" t="inlineStr">
        <is>
          <t>05:15</t>
        </is>
      </c>
      <c r="C23" s="16" t="n">
        <v>0</v>
      </c>
      <c r="D23" s="7" t="n">
        <v>0</v>
      </c>
      <c r="E23" s="17" t="n">
        <v>0.07199999999999999</v>
      </c>
      <c r="F23" s="17">
        <f>E23*'Thong tin'!$B$6</f>
        <v/>
      </c>
    </row>
    <row r="24">
      <c r="A24" s="2" t="n">
        <v>46243</v>
      </c>
      <c r="B24" s="3" t="inlineStr">
        <is>
          <t>05:30</t>
        </is>
      </c>
      <c r="C24" s="16" t="n">
        <v>0</v>
      </c>
      <c r="D24" s="7" t="n">
        <v>0</v>
      </c>
      <c r="E24" s="17" t="n">
        <v>0.506</v>
      </c>
      <c r="F24" s="17">
        <f>E24*'Thong tin'!$B$6</f>
        <v/>
      </c>
    </row>
    <row r="25">
      <c r="A25" s="2" t="n">
        <v>46243</v>
      </c>
      <c r="B25" s="3" t="inlineStr">
        <is>
          <t>05:45</t>
        </is>
      </c>
      <c r="C25" s="16" t="n">
        <v>2</v>
      </c>
      <c r="D25" s="7" t="n">
        <v>0.026</v>
      </c>
      <c r="E25" s="17" t="n">
        <v>0.342</v>
      </c>
      <c r="F25" s="17">
        <f>E25*'Thong tin'!$B$6</f>
        <v/>
      </c>
    </row>
    <row r="26">
      <c r="A26" s="2" t="n">
        <v>46243</v>
      </c>
      <c r="B26" s="3" t="inlineStr">
        <is>
          <t>06:00</t>
        </is>
      </c>
      <c r="C26" s="16" t="n">
        <v>4</v>
      </c>
      <c r="D26" s="7" t="n">
        <v>0.026</v>
      </c>
      <c r="E26" s="17" t="n">
        <v>0.342</v>
      </c>
      <c r="F26" s="17">
        <f>E26*'Thong tin'!$B$6</f>
        <v/>
      </c>
    </row>
    <row r="27">
      <c r="A27" s="2" t="n">
        <v>46243</v>
      </c>
      <c r="B27" s="3" t="inlineStr">
        <is>
          <t>06:15</t>
        </is>
      </c>
      <c r="C27" s="16" t="n">
        <v>6</v>
      </c>
      <c r="D27" s="7" t="n">
        <v>0.026</v>
      </c>
      <c r="E27" s="17" t="n">
        <v>0.342</v>
      </c>
      <c r="F27" s="17">
        <f>E27*'Thong tin'!$B$6</f>
        <v/>
      </c>
    </row>
    <row r="28">
      <c r="A28" s="2" t="n">
        <v>46243</v>
      </c>
      <c r="B28" s="3" t="inlineStr">
        <is>
          <t>06:30</t>
        </is>
      </c>
      <c r="C28" s="16" t="n">
        <v>8</v>
      </c>
      <c r="D28" s="7" t="n">
        <v>0.026</v>
      </c>
      <c r="E28" s="17" t="n">
        <v>0.365</v>
      </c>
      <c r="F28" s="17">
        <f>E28*'Thong tin'!$B$6</f>
        <v/>
      </c>
    </row>
    <row r="29">
      <c r="A29" s="2" t="n">
        <v>46243</v>
      </c>
      <c r="B29" s="3" t="inlineStr">
        <is>
          <t>06:45</t>
        </is>
      </c>
      <c r="C29" s="16" t="n">
        <v>21</v>
      </c>
      <c r="D29" s="7" t="n">
        <v>0.054</v>
      </c>
      <c r="E29" s="17" t="n">
        <v>0.719</v>
      </c>
      <c r="F29" s="17">
        <f>E29*'Thong tin'!$B$6</f>
        <v/>
      </c>
    </row>
    <row r="30">
      <c r="A30" s="2" t="n">
        <v>46243</v>
      </c>
      <c r="B30" s="3" t="inlineStr">
        <is>
          <t>07:00</t>
        </is>
      </c>
      <c r="C30" s="16" t="n">
        <v>38</v>
      </c>
      <c r="D30" s="7" t="n">
        <v>0.079</v>
      </c>
      <c r="E30" s="17" t="n">
        <v>1.18</v>
      </c>
      <c r="F30" s="17">
        <f>E30*'Thong tin'!$B$6</f>
        <v/>
      </c>
    </row>
    <row r="31">
      <c r="A31" s="2" t="n">
        <v>46243</v>
      </c>
      <c r="B31" s="3" t="inlineStr">
        <is>
          <t>07:15</t>
        </is>
      </c>
      <c r="C31" s="16" t="n">
        <v>57</v>
      </c>
      <c r="D31" s="7" t="n">
        <v>0.103</v>
      </c>
      <c r="E31" s="17" t="n">
        <v>2.075</v>
      </c>
      <c r="F31" s="17">
        <f>E31*'Thong tin'!$B$6</f>
        <v/>
      </c>
    </row>
    <row r="32">
      <c r="A32" s="2" t="n">
        <v>46243</v>
      </c>
      <c r="B32" s="3" t="inlineStr">
        <is>
          <t>07:30</t>
        </is>
      </c>
      <c r="C32" s="16" t="n">
        <v>81</v>
      </c>
      <c r="D32" s="7" t="n">
        <v>0.128</v>
      </c>
      <c r="E32" s="17" t="n">
        <v>2.527</v>
      </c>
      <c r="F32" s="17">
        <f>E32*'Thong tin'!$B$6</f>
        <v/>
      </c>
    </row>
    <row r="33">
      <c r="A33" s="2" t="n">
        <v>46243</v>
      </c>
      <c r="B33" s="3" t="inlineStr">
        <is>
          <t>07:45</t>
        </is>
      </c>
      <c r="C33" s="16" t="n">
        <v>100</v>
      </c>
      <c r="D33" s="7" t="n">
        <v>0.142</v>
      </c>
      <c r="E33" s="17" t="n">
        <v>3.617</v>
      </c>
      <c r="F33" s="17">
        <f>E33*'Thong tin'!$B$6</f>
        <v/>
      </c>
    </row>
    <row r="34">
      <c r="A34" s="2" t="n">
        <v>46243</v>
      </c>
      <c r="B34" s="3" t="inlineStr">
        <is>
          <t>08:00</t>
        </is>
      </c>
      <c r="C34" s="16" t="n">
        <v>121</v>
      </c>
      <c r="D34" s="7" t="n">
        <v>0.155</v>
      </c>
      <c r="E34" s="17" t="n">
        <v>4.644</v>
      </c>
      <c r="F34" s="17">
        <f>E34*'Thong tin'!$B$6</f>
        <v/>
      </c>
    </row>
    <row r="35">
      <c r="A35" s="2" t="n">
        <v>46243</v>
      </c>
      <c r="B35" s="3" t="inlineStr">
        <is>
          <t>08:15</t>
        </is>
      </c>
      <c r="C35" s="16" t="n">
        <v>143</v>
      </c>
      <c r="D35" s="7" t="n">
        <v>0.169</v>
      </c>
      <c r="E35" s="17" t="n">
        <v>5.364</v>
      </c>
      <c r="F35" s="17">
        <f>E35*'Thong tin'!$B$6</f>
        <v/>
      </c>
    </row>
    <row r="36">
      <c r="A36" s="2" t="n">
        <v>46243</v>
      </c>
      <c r="B36" s="3" t="inlineStr">
        <is>
          <t>08:30</t>
        </is>
      </c>
      <c r="C36" s="16" t="n">
        <v>166</v>
      </c>
      <c r="D36" s="7" t="n">
        <v>0.182</v>
      </c>
      <c r="E36" s="17" t="n">
        <v>6.704</v>
      </c>
      <c r="F36" s="17">
        <f>E36*'Thong tin'!$B$6</f>
        <v/>
      </c>
    </row>
    <row r="37">
      <c r="A37" s="2" t="n">
        <v>46243</v>
      </c>
      <c r="B37" s="3" t="inlineStr">
        <is>
          <t>08:45</t>
        </is>
      </c>
      <c r="C37" s="16" t="n">
        <v>186</v>
      </c>
      <c r="D37" s="7" t="n">
        <v>0.191</v>
      </c>
      <c r="E37" s="17" t="n">
        <v>7.439</v>
      </c>
      <c r="F37" s="17">
        <f>E37*'Thong tin'!$B$6</f>
        <v/>
      </c>
    </row>
    <row r="38">
      <c r="A38" s="2" t="n">
        <v>46243</v>
      </c>
      <c r="B38" s="3" t="inlineStr">
        <is>
          <t>09:00</t>
        </is>
      </c>
      <c r="C38" s="16" t="n">
        <v>206</v>
      </c>
      <c r="D38" s="7" t="n">
        <v>0.2</v>
      </c>
      <c r="E38" s="17" t="n">
        <v>8.766999999999999</v>
      </c>
      <c r="F38" s="17">
        <f>E38*'Thong tin'!$B$6</f>
        <v/>
      </c>
    </row>
    <row r="39">
      <c r="A39" s="2" t="n">
        <v>46243</v>
      </c>
      <c r="B39" s="3" t="inlineStr">
        <is>
          <t>09:15</t>
        </is>
      </c>
      <c r="C39" s="16" t="n">
        <v>227</v>
      </c>
      <c r="D39" s="7" t="n">
        <v>0.209</v>
      </c>
      <c r="E39" s="17" t="n">
        <v>10.188</v>
      </c>
      <c r="F39" s="17">
        <f>E39*'Thong tin'!$B$6</f>
        <v/>
      </c>
    </row>
    <row r="40">
      <c r="A40" s="2" t="n">
        <v>46243</v>
      </c>
      <c r="B40" s="3" t="inlineStr">
        <is>
          <t>09:30</t>
        </is>
      </c>
      <c r="C40" s="16" t="n">
        <v>247</v>
      </c>
      <c r="D40" s="7" t="n">
        <v>0.218</v>
      </c>
      <c r="E40" s="17" t="n">
        <v>11.231</v>
      </c>
      <c r="F40" s="17">
        <f>E40*'Thong tin'!$B$6</f>
        <v/>
      </c>
    </row>
    <row r="41">
      <c r="A41" s="2" t="n">
        <v>46243</v>
      </c>
      <c r="B41" s="3" t="inlineStr">
        <is>
          <t>09:45</t>
        </is>
      </c>
      <c r="C41" s="16" t="n">
        <v>273</v>
      </c>
      <c r="D41" s="7" t="n">
        <v>0.231</v>
      </c>
      <c r="E41" s="17" t="n">
        <v>12.314</v>
      </c>
      <c r="F41" s="17">
        <f>E41*'Thong tin'!$B$6</f>
        <v/>
      </c>
    </row>
    <row r="42">
      <c r="A42" s="2" t="n">
        <v>46243</v>
      </c>
      <c r="B42" s="3" t="inlineStr">
        <is>
          <t>10:00</t>
        </is>
      </c>
      <c r="C42" s="16" t="n">
        <v>272</v>
      </c>
      <c r="D42" s="7" t="n">
        <v>0.223</v>
      </c>
      <c r="E42" s="17" t="n">
        <v>11.954</v>
      </c>
      <c r="F42" s="17">
        <f>E42*'Thong tin'!$B$6</f>
        <v/>
      </c>
    </row>
    <row r="43">
      <c r="A43" s="2" t="n">
        <v>46243</v>
      </c>
      <c r="B43" s="3" t="inlineStr">
        <is>
          <t>10:15</t>
        </is>
      </c>
      <c r="C43" s="16" t="n">
        <v>254</v>
      </c>
      <c r="D43" s="7" t="n">
        <v>0.203</v>
      </c>
      <c r="E43" s="17" t="n">
        <v>11.147</v>
      </c>
      <c r="F43" s="17">
        <f>E43*'Thong tin'!$B$6</f>
        <v/>
      </c>
    </row>
    <row r="44">
      <c r="A44" s="2" t="n">
        <v>46243</v>
      </c>
      <c r="B44" s="3" t="inlineStr">
        <is>
          <t>10:30</t>
        </is>
      </c>
      <c r="C44" s="16" t="n">
        <v>275</v>
      </c>
      <c r="D44" s="7" t="n">
        <v>0.214</v>
      </c>
      <c r="E44" s="17" t="n">
        <v>11.985</v>
      </c>
      <c r="F44" s="17">
        <f>E44*'Thong tin'!$B$6</f>
        <v/>
      </c>
    </row>
    <row r="45">
      <c r="A45" s="2" t="n">
        <v>46243</v>
      </c>
      <c r="B45" s="3" t="inlineStr">
        <is>
          <t>10:45</t>
        </is>
      </c>
      <c r="C45" s="16" t="n">
        <v>309</v>
      </c>
      <c r="D45" s="7" t="n">
        <v>0.236</v>
      </c>
      <c r="E45" s="17" t="n">
        <v>13.353</v>
      </c>
      <c r="F45" s="17">
        <f>E45*'Thong tin'!$B$6</f>
        <v/>
      </c>
    </row>
    <row r="46">
      <c r="A46" s="2" t="n">
        <v>46243</v>
      </c>
      <c r="B46" s="3" t="inlineStr">
        <is>
          <t>11:00</t>
        </is>
      </c>
      <c r="C46" s="16" t="n">
        <v>339</v>
      </c>
      <c r="D46" s="7" t="n">
        <v>0.254</v>
      </c>
      <c r="E46" s="17" t="n">
        <v>14.243</v>
      </c>
      <c r="F46" s="17">
        <f>E46*'Thong tin'!$B$6</f>
        <v/>
      </c>
    </row>
    <row r="47">
      <c r="A47" s="2" t="n">
        <v>46243</v>
      </c>
      <c r="B47" s="3" t="inlineStr">
        <is>
          <t>11:15</t>
        </is>
      </c>
      <c r="C47" s="16" t="n">
        <v>349</v>
      </c>
      <c r="D47" s="7" t="n">
        <v>0.259</v>
      </c>
      <c r="E47" s="17" t="n">
        <v>15.104</v>
      </c>
      <c r="F47" s="17">
        <f>E47*'Thong tin'!$B$6</f>
        <v/>
      </c>
    </row>
    <row r="48">
      <c r="A48" s="2" t="n">
        <v>46243</v>
      </c>
      <c r="B48" s="3" t="inlineStr">
        <is>
          <t>11:30</t>
        </is>
      </c>
      <c r="C48" s="16" t="n">
        <v>383</v>
      </c>
      <c r="D48" s="7" t="n">
        <v>0.283</v>
      </c>
      <c r="E48" s="17" t="n">
        <v>16.425</v>
      </c>
      <c r="F48" s="17">
        <f>E48*'Thong tin'!$B$6</f>
        <v/>
      </c>
    </row>
    <row r="49">
      <c r="A49" s="2" t="n">
        <v>46243</v>
      </c>
      <c r="B49" s="3" t="inlineStr">
        <is>
          <t>11:45</t>
        </is>
      </c>
      <c r="C49" s="16" t="n">
        <v>392</v>
      </c>
      <c r="D49" s="7" t="n">
        <v>0.288</v>
      </c>
      <c r="E49" s="17" t="n">
        <v>16.425</v>
      </c>
      <c r="F49" s="17">
        <f>E49*'Thong tin'!$B$6</f>
        <v/>
      </c>
    </row>
    <row r="50">
      <c r="A50" s="2" t="n">
        <v>46243</v>
      </c>
      <c r="B50" s="3" t="inlineStr">
        <is>
          <t>12:00</t>
        </is>
      </c>
      <c r="C50" s="16" t="n">
        <v>399</v>
      </c>
      <c r="D50" s="7" t="n">
        <v>0.294</v>
      </c>
      <c r="E50" s="17" t="n">
        <v>16.888</v>
      </c>
      <c r="F50" s="17">
        <f>E50*'Thong tin'!$B$6</f>
        <v/>
      </c>
    </row>
    <row r="51">
      <c r="A51" s="2" t="n">
        <v>46243</v>
      </c>
      <c r="B51" s="3" t="inlineStr">
        <is>
          <t>12:15</t>
        </is>
      </c>
      <c r="C51" s="16" t="n">
        <v>405</v>
      </c>
      <c r="D51" s="7" t="n">
        <v>0.299</v>
      </c>
      <c r="E51" s="17" t="n">
        <v>16.888</v>
      </c>
      <c r="F51" s="17">
        <f>E51*'Thong tin'!$B$6</f>
        <v/>
      </c>
    </row>
    <row r="52">
      <c r="A52" s="2" t="n">
        <v>46243</v>
      </c>
      <c r="B52" s="3" t="inlineStr">
        <is>
          <t>12:30</t>
        </is>
      </c>
      <c r="C52" s="16" t="n">
        <v>408</v>
      </c>
      <c r="D52" s="7" t="n">
        <v>0.305</v>
      </c>
      <c r="E52" s="17" t="n">
        <v>16.888</v>
      </c>
      <c r="F52" s="17">
        <f>E52*'Thong tin'!$B$6</f>
        <v/>
      </c>
    </row>
    <row r="53">
      <c r="A53" s="2" t="n">
        <v>46243</v>
      </c>
      <c r="B53" s="3" t="inlineStr">
        <is>
          <t>12:45</t>
        </is>
      </c>
      <c r="C53" s="16" t="n">
        <v>385</v>
      </c>
      <c r="D53" s="7" t="n">
        <v>0.291</v>
      </c>
      <c r="E53" s="17" t="n">
        <v>16.427</v>
      </c>
      <c r="F53" s="17">
        <f>E53*'Thong tin'!$B$6</f>
        <v/>
      </c>
    </row>
    <row r="54">
      <c r="A54" s="2" t="n">
        <v>46243</v>
      </c>
      <c r="B54" s="3" t="inlineStr">
        <is>
          <t>13:00</t>
        </is>
      </c>
      <c r="C54" s="16" t="n">
        <v>386</v>
      </c>
      <c r="D54" s="7" t="n">
        <v>0.297</v>
      </c>
      <c r="E54" s="17" t="n">
        <v>16.385</v>
      </c>
      <c r="F54" s="17">
        <f>E54*'Thong tin'!$B$6</f>
        <v/>
      </c>
    </row>
    <row r="55">
      <c r="A55" s="2" t="n">
        <v>46243</v>
      </c>
      <c r="B55" s="3" t="inlineStr">
        <is>
          <t>13:15</t>
        </is>
      </c>
      <c r="C55" s="16" t="n">
        <v>385</v>
      </c>
      <c r="D55" s="7" t="n">
        <v>0.303</v>
      </c>
      <c r="E55" s="17" t="n">
        <v>15.853</v>
      </c>
      <c r="F55" s="17">
        <f>E55*'Thong tin'!$B$6</f>
        <v/>
      </c>
    </row>
    <row r="56">
      <c r="A56" s="2" t="n">
        <v>46243</v>
      </c>
      <c r="B56" s="3" t="inlineStr">
        <is>
          <t>13:30</t>
        </is>
      </c>
      <c r="C56" s="16" t="n">
        <v>383</v>
      </c>
      <c r="D56" s="7" t="n">
        <v>0.309</v>
      </c>
      <c r="E56" s="17" t="n">
        <v>15.639</v>
      </c>
      <c r="F56" s="17">
        <f>E56*'Thong tin'!$B$6</f>
        <v/>
      </c>
    </row>
    <row r="57">
      <c r="A57" s="2" t="n">
        <v>46243</v>
      </c>
      <c r="B57" s="3" t="inlineStr">
        <is>
          <t>13:45</t>
        </is>
      </c>
      <c r="C57" s="16" t="n">
        <v>380</v>
      </c>
      <c r="D57" s="7" t="n">
        <v>0.316</v>
      </c>
      <c r="E57" s="17" t="n">
        <v>15.054</v>
      </c>
      <c r="F57" s="17">
        <f>E57*'Thong tin'!$B$6</f>
        <v/>
      </c>
    </row>
    <row r="58">
      <c r="A58" s="2" t="n">
        <v>46243</v>
      </c>
      <c r="B58" s="3" t="inlineStr">
        <is>
          <t>14:00</t>
        </is>
      </c>
      <c r="C58" s="16" t="n">
        <v>375</v>
      </c>
      <c r="D58" s="7" t="n">
        <v>0.324</v>
      </c>
      <c r="E58" s="17" t="n">
        <v>15.075</v>
      </c>
      <c r="F58" s="17">
        <f>E58*'Thong tin'!$B$6</f>
        <v/>
      </c>
    </row>
    <row r="59">
      <c r="A59" s="2" t="n">
        <v>46243</v>
      </c>
      <c r="B59" s="3" t="inlineStr">
        <is>
          <t>14:15</t>
        </is>
      </c>
      <c r="C59" s="16" t="n">
        <v>368</v>
      </c>
      <c r="D59" s="7" t="n">
        <v>0.331</v>
      </c>
      <c r="E59" s="17" t="n">
        <v>14.933</v>
      </c>
      <c r="F59" s="17">
        <f>E59*'Thong tin'!$B$6</f>
        <v/>
      </c>
    </row>
    <row r="60">
      <c r="A60" s="2" t="n">
        <v>46243</v>
      </c>
      <c r="B60" s="3" t="inlineStr">
        <is>
          <t>14:30</t>
        </is>
      </c>
      <c r="C60" s="16" t="n">
        <v>358</v>
      </c>
      <c r="D60" s="7" t="n">
        <v>0.339</v>
      </c>
      <c r="E60" s="17" t="n">
        <v>14.753</v>
      </c>
      <c r="F60" s="17">
        <f>E60*'Thong tin'!$B$6</f>
        <v/>
      </c>
    </row>
    <row r="61">
      <c r="A61" s="2" t="n">
        <v>46243</v>
      </c>
      <c r="B61" s="3" t="inlineStr">
        <is>
          <t>14:45</t>
        </is>
      </c>
      <c r="C61" s="16" t="n">
        <v>352</v>
      </c>
      <c r="D61" s="7" t="n">
        <v>0.351</v>
      </c>
      <c r="E61" s="17" t="n">
        <v>14.563</v>
      </c>
      <c r="F61" s="17">
        <f>E61*'Thong tin'!$B$6</f>
        <v/>
      </c>
    </row>
    <row r="62">
      <c r="A62" s="2" t="n">
        <v>46243</v>
      </c>
      <c r="B62" s="3" t="inlineStr">
        <is>
          <t>15:00</t>
        </is>
      </c>
      <c r="C62" s="16" t="n">
        <v>343</v>
      </c>
      <c r="D62" s="7" t="n">
        <v>0.364</v>
      </c>
      <c r="E62" s="17" t="n">
        <v>13.549</v>
      </c>
      <c r="F62" s="17">
        <f>E62*'Thong tin'!$B$6</f>
        <v/>
      </c>
    </row>
    <row r="63">
      <c r="A63" s="2" t="n">
        <v>46243</v>
      </c>
      <c r="B63" s="3" t="inlineStr">
        <is>
          <t>15:15</t>
        </is>
      </c>
      <c r="C63" s="16" t="n">
        <v>331</v>
      </c>
      <c r="D63" s="7" t="n">
        <v>0.376</v>
      </c>
      <c r="E63" s="17" t="n">
        <v>13.039</v>
      </c>
      <c r="F63" s="17">
        <f>E63*'Thong tin'!$B$6</f>
        <v/>
      </c>
    </row>
    <row r="64">
      <c r="A64" s="2" t="n">
        <v>46243</v>
      </c>
      <c r="B64" s="3" t="inlineStr">
        <is>
          <t>15:30</t>
        </is>
      </c>
      <c r="C64" s="16" t="n">
        <v>309</v>
      </c>
      <c r="D64" s="7" t="n">
        <v>0.381</v>
      </c>
      <c r="E64" s="17" t="n">
        <v>12.63</v>
      </c>
      <c r="F64" s="17">
        <f>E64*'Thong tin'!$B$6</f>
        <v/>
      </c>
    </row>
    <row r="65">
      <c r="A65" s="2" t="n">
        <v>46243</v>
      </c>
      <c r="B65" s="3" t="inlineStr">
        <is>
          <t>15:45</t>
        </is>
      </c>
      <c r="C65" s="16" t="n">
        <v>297</v>
      </c>
      <c r="D65" s="7" t="n">
        <v>0.401</v>
      </c>
      <c r="E65" s="17" t="n">
        <v>12.683</v>
      </c>
      <c r="F65" s="17">
        <f>E65*'Thong tin'!$B$6</f>
        <v/>
      </c>
    </row>
    <row r="66">
      <c r="A66" s="2" t="n">
        <v>46243</v>
      </c>
      <c r="B66" s="3" t="inlineStr">
        <is>
          <t>16:00</t>
        </is>
      </c>
      <c r="C66" s="16" t="n">
        <v>281</v>
      </c>
      <c r="D66" s="7" t="n">
        <v>0.42</v>
      </c>
      <c r="E66" s="17" t="n">
        <v>11.808</v>
      </c>
      <c r="F66" s="17">
        <f>E66*'Thong tin'!$B$6</f>
        <v/>
      </c>
    </row>
    <row r="67">
      <c r="A67" s="2" t="n">
        <v>46243</v>
      </c>
      <c r="B67" s="3" t="inlineStr">
        <is>
          <t>16:15</t>
        </is>
      </c>
      <c r="C67" s="16" t="n">
        <v>262</v>
      </c>
      <c r="D67" s="7" t="n">
        <v>0.44</v>
      </c>
      <c r="E67" s="17" t="n">
        <v>10.969</v>
      </c>
      <c r="F67" s="17">
        <f>E67*'Thong tin'!$B$6</f>
        <v/>
      </c>
    </row>
    <row r="68">
      <c r="A68" s="2" t="n">
        <v>46243</v>
      </c>
      <c r="B68" s="3" t="inlineStr">
        <is>
          <t>16:30</t>
        </is>
      </c>
      <c r="C68" s="16" t="n">
        <v>238</v>
      </c>
      <c r="D68" s="7" t="n">
        <v>0.46</v>
      </c>
      <c r="E68" s="17" t="n">
        <v>9.829000000000001</v>
      </c>
      <c r="F68" s="17">
        <f>E68*'Thong tin'!$B$6</f>
        <v/>
      </c>
    </row>
    <row r="69">
      <c r="A69" s="2" t="n">
        <v>46243</v>
      </c>
      <c r="B69" s="3" t="inlineStr">
        <is>
          <t>16:45</t>
        </is>
      </c>
      <c r="C69" s="16" t="n">
        <v>215</v>
      </c>
      <c r="D69" s="7" t="n">
        <v>0.491</v>
      </c>
      <c r="E69" s="17" t="n">
        <v>8.826000000000001</v>
      </c>
      <c r="F69" s="17">
        <f>E69*'Thong tin'!$B$6</f>
        <v/>
      </c>
    </row>
    <row r="70">
      <c r="A70" s="2" t="n">
        <v>46243</v>
      </c>
      <c r="B70" s="3" t="inlineStr">
        <is>
          <t>17:00</t>
        </is>
      </c>
      <c r="C70" s="16" t="n">
        <v>186</v>
      </c>
      <c r="D70" s="7" t="n">
        <v>0.523</v>
      </c>
      <c r="E70" s="17" t="n">
        <v>7.525</v>
      </c>
      <c r="F70" s="17">
        <f>E70*'Thong tin'!$B$6</f>
        <v/>
      </c>
    </row>
    <row r="71">
      <c r="A71" s="2" t="n">
        <v>46243</v>
      </c>
      <c r="B71" s="3" t="inlineStr">
        <is>
          <t>17:15</t>
        </is>
      </c>
      <c r="C71" s="16" t="n">
        <v>152</v>
      </c>
      <c r="D71" s="7" t="n">
        <v>0.554</v>
      </c>
      <c r="E71" s="17" t="n">
        <v>6.219</v>
      </c>
      <c r="F71" s="17">
        <f>E71*'Thong tin'!$B$6</f>
        <v/>
      </c>
    </row>
    <row r="72">
      <c r="A72" s="2" t="n">
        <v>46243</v>
      </c>
      <c r="B72" s="3" t="inlineStr">
        <is>
          <t>17:30</t>
        </is>
      </c>
      <c r="C72" s="16" t="n">
        <v>112</v>
      </c>
      <c r="D72" s="7" t="n">
        <v>0.586</v>
      </c>
      <c r="E72" s="17" t="n">
        <v>4.515</v>
      </c>
      <c r="F72" s="17">
        <f>E72*'Thong tin'!$B$6</f>
        <v/>
      </c>
    </row>
    <row r="73">
      <c r="A73" s="2" t="n">
        <v>46243</v>
      </c>
      <c r="B73" s="3" t="inlineStr">
        <is>
          <t>17:45</t>
        </is>
      </c>
      <c r="C73" s="16" t="n">
        <v>64</v>
      </c>
      <c r="D73" s="7" t="n">
        <v>0.586</v>
      </c>
      <c r="E73" s="17" t="n">
        <v>2.602</v>
      </c>
      <c r="F73" s="17">
        <f>E73*'Thong tin'!$B$6</f>
        <v/>
      </c>
    </row>
    <row r="74">
      <c r="A74" s="2" t="n">
        <v>46243</v>
      </c>
      <c r="B74" s="3" t="inlineStr">
        <is>
          <t>18:00</t>
        </is>
      </c>
      <c r="C74" s="16" t="n">
        <v>15</v>
      </c>
      <c r="D74" s="7" t="n">
        <v>0.586</v>
      </c>
      <c r="E74" s="17" t="n">
        <v>0.795</v>
      </c>
      <c r="F74" s="17">
        <f>E74*'Thong tin'!$B$6</f>
        <v/>
      </c>
    </row>
    <row r="75">
      <c r="A75" s="2" t="n">
        <v>46243</v>
      </c>
      <c r="B75" s="3" t="inlineStr">
        <is>
          <t>18:15</t>
        </is>
      </c>
      <c r="C75" s="16" t="n">
        <v>0</v>
      </c>
      <c r="D75" s="7" t="n">
        <v>0</v>
      </c>
      <c r="E75" s="17" t="n">
        <v>0.07199999999999999</v>
      </c>
      <c r="F75" s="17">
        <f>E75*'Thong tin'!$B$6</f>
        <v/>
      </c>
    </row>
    <row r="76">
      <c r="A76" s="2" t="n">
        <v>46243</v>
      </c>
      <c r="B76" s="3" t="inlineStr">
        <is>
          <t>18:30</t>
        </is>
      </c>
      <c r="C76" s="16" t="n">
        <v>0</v>
      </c>
      <c r="D76" s="7" t="n">
        <v>0</v>
      </c>
      <c r="E76" s="17" t="n">
        <v>0.07199999999999999</v>
      </c>
      <c r="F76" s="17">
        <f>E76*'Thong tin'!$B$6</f>
        <v/>
      </c>
    </row>
    <row r="77">
      <c r="A77" s="2" t="n">
        <v>46243</v>
      </c>
      <c r="B77" s="3" t="inlineStr">
        <is>
          <t>18:45</t>
        </is>
      </c>
      <c r="C77" s="16" t="n">
        <v>0</v>
      </c>
      <c r="D77" s="7" t="n">
        <v>0</v>
      </c>
      <c r="E77" s="17" t="n">
        <v>0.07199999999999999</v>
      </c>
      <c r="F77" s="17">
        <f>E77*'Thong tin'!$B$6</f>
        <v/>
      </c>
    </row>
    <row r="78">
      <c r="A78" s="2" t="n">
        <v>46243</v>
      </c>
      <c r="B78" s="3" t="inlineStr">
        <is>
          <t>19:00</t>
        </is>
      </c>
      <c r="C78" s="16" t="n">
        <v>0</v>
      </c>
      <c r="D78" s="7" t="n">
        <v>0</v>
      </c>
      <c r="E78" s="17" t="n">
        <v>0.07199999999999999</v>
      </c>
      <c r="F78" s="17">
        <f>E78*'Thong tin'!$B$6</f>
        <v/>
      </c>
    </row>
    <row r="79">
      <c r="A79" s="2" t="n">
        <v>46243</v>
      </c>
      <c r="B79" s="3" t="inlineStr">
        <is>
          <t>19:15</t>
        </is>
      </c>
      <c r="C79" s="16" t="n">
        <v>0</v>
      </c>
      <c r="D79" s="7" t="n">
        <v>0</v>
      </c>
      <c r="E79" s="17" t="n">
        <v>0.07199999999999999</v>
      </c>
      <c r="F79" s="17">
        <f>E79*'Thong tin'!$B$6</f>
        <v/>
      </c>
    </row>
    <row r="80">
      <c r="A80" s="2" t="n">
        <v>46243</v>
      </c>
      <c r="B80" s="3" t="inlineStr">
        <is>
          <t>19:30</t>
        </is>
      </c>
      <c r="C80" s="16" t="n">
        <v>0</v>
      </c>
      <c r="D80" s="7" t="n">
        <v>0</v>
      </c>
      <c r="E80" s="17" t="n">
        <v>0.07199999999999999</v>
      </c>
      <c r="F80" s="17">
        <f>E80*'Thong tin'!$B$6</f>
        <v/>
      </c>
    </row>
    <row r="81">
      <c r="A81" s="2" t="n">
        <v>46243</v>
      </c>
      <c r="B81" s="3" t="inlineStr">
        <is>
          <t>19:45</t>
        </is>
      </c>
      <c r="C81" s="16" t="n">
        <v>0</v>
      </c>
      <c r="D81" s="7" t="n">
        <v>0</v>
      </c>
      <c r="E81" s="17" t="n">
        <v>0.07199999999999999</v>
      </c>
      <c r="F81" s="17">
        <f>E81*'Thong tin'!$B$6</f>
        <v/>
      </c>
    </row>
    <row r="82">
      <c r="A82" s="2" t="n">
        <v>46243</v>
      </c>
      <c r="B82" s="3" t="inlineStr">
        <is>
          <t>20:00</t>
        </is>
      </c>
      <c r="C82" s="16" t="n">
        <v>0</v>
      </c>
      <c r="D82" s="7" t="n">
        <v>0</v>
      </c>
      <c r="E82" s="17" t="n">
        <v>0.07199999999999999</v>
      </c>
      <c r="F82" s="17">
        <f>E82*'Thong tin'!$B$6</f>
        <v/>
      </c>
    </row>
    <row r="83">
      <c r="A83" s="2" t="n">
        <v>46243</v>
      </c>
      <c r="B83" s="3" t="inlineStr">
        <is>
          <t>20:15</t>
        </is>
      </c>
      <c r="C83" s="16" t="n">
        <v>0</v>
      </c>
      <c r="D83" s="7" t="n">
        <v>0</v>
      </c>
      <c r="E83" s="17" t="n">
        <v>0.07199999999999999</v>
      </c>
      <c r="F83" s="17">
        <f>E83*'Thong tin'!$B$6</f>
        <v/>
      </c>
    </row>
    <row r="84">
      <c r="A84" s="2" t="n">
        <v>46243</v>
      </c>
      <c r="B84" s="3" t="inlineStr">
        <is>
          <t>20:30</t>
        </is>
      </c>
      <c r="C84" s="16" t="n">
        <v>0</v>
      </c>
      <c r="D84" s="7" t="n">
        <v>0</v>
      </c>
      <c r="E84" s="17" t="n">
        <v>0.07199999999999999</v>
      </c>
      <c r="F84" s="17">
        <f>E84*'Thong tin'!$B$6</f>
        <v/>
      </c>
    </row>
    <row r="85">
      <c r="A85" s="2" t="n">
        <v>46243</v>
      </c>
      <c r="B85" s="3" t="inlineStr">
        <is>
          <t>20:45</t>
        </is>
      </c>
      <c r="C85" s="16" t="n">
        <v>0</v>
      </c>
      <c r="D85" s="7" t="n">
        <v>0</v>
      </c>
      <c r="E85" s="17" t="n">
        <v>0.07199999999999999</v>
      </c>
      <c r="F85" s="17">
        <f>E85*'Thong tin'!$B$6</f>
        <v/>
      </c>
    </row>
    <row r="86">
      <c r="A86" s="2" t="n">
        <v>46243</v>
      </c>
      <c r="B86" s="3" t="inlineStr">
        <is>
          <t>21:00</t>
        </is>
      </c>
      <c r="C86" s="16" t="n">
        <v>0</v>
      </c>
      <c r="D86" s="7" t="n">
        <v>0</v>
      </c>
      <c r="E86" s="17" t="n">
        <v>0.07199999999999999</v>
      </c>
      <c r="F86" s="17">
        <f>E86*'Thong tin'!$B$6</f>
        <v/>
      </c>
    </row>
    <row r="87">
      <c r="A87" s="2" t="n">
        <v>46243</v>
      </c>
      <c r="B87" s="3" t="inlineStr">
        <is>
          <t>21:15</t>
        </is>
      </c>
      <c r="C87" s="16" t="n">
        <v>0</v>
      </c>
      <c r="D87" s="7" t="n">
        <v>0</v>
      </c>
      <c r="E87" s="17" t="n">
        <v>0.07199999999999999</v>
      </c>
      <c r="F87" s="17">
        <f>E87*'Thong tin'!$B$6</f>
        <v/>
      </c>
    </row>
    <row r="88">
      <c r="A88" s="2" t="n">
        <v>46243</v>
      </c>
      <c r="B88" s="3" t="inlineStr">
        <is>
          <t>21:30</t>
        </is>
      </c>
      <c r="C88" s="16" t="n">
        <v>0</v>
      </c>
      <c r="D88" s="7" t="n">
        <v>0</v>
      </c>
      <c r="E88" s="17" t="n">
        <v>0.07199999999999999</v>
      </c>
      <c r="F88" s="17">
        <f>E88*'Thong tin'!$B$6</f>
        <v/>
      </c>
    </row>
    <row r="89">
      <c r="A89" s="2" t="n">
        <v>46243</v>
      </c>
      <c r="B89" s="3" t="inlineStr">
        <is>
          <t>21:45</t>
        </is>
      </c>
      <c r="C89" s="16" t="n">
        <v>0</v>
      </c>
      <c r="D89" s="7" t="n">
        <v>0</v>
      </c>
      <c r="E89" s="17" t="n">
        <v>0.07199999999999999</v>
      </c>
      <c r="F89" s="17">
        <f>E89*'Thong tin'!$B$6</f>
        <v/>
      </c>
    </row>
    <row r="90">
      <c r="A90" s="2" t="n">
        <v>46243</v>
      </c>
      <c r="B90" s="3" t="inlineStr">
        <is>
          <t>22:00</t>
        </is>
      </c>
      <c r="C90" s="16" t="n">
        <v>0</v>
      </c>
      <c r="D90" s="7" t="n">
        <v>0</v>
      </c>
      <c r="E90" s="17" t="n">
        <v>0.07199999999999999</v>
      </c>
      <c r="F90" s="17">
        <f>E90*'Thong tin'!$B$6</f>
        <v/>
      </c>
    </row>
    <row r="91">
      <c r="A91" s="2" t="n">
        <v>46243</v>
      </c>
      <c r="B91" s="3" t="inlineStr">
        <is>
          <t>22:15</t>
        </is>
      </c>
      <c r="C91" s="16" t="n">
        <v>0</v>
      </c>
      <c r="D91" s="7" t="n">
        <v>0</v>
      </c>
      <c r="E91" s="17" t="n">
        <v>0.07199999999999999</v>
      </c>
      <c r="F91" s="17">
        <f>E91*'Thong tin'!$B$6</f>
        <v/>
      </c>
    </row>
    <row r="92">
      <c r="A92" s="2" t="n">
        <v>46243</v>
      </c>
      <c r="B92" s="3" t="inlineStr">
        <is>
          <t>22:30</t>
        </is>
      </c>
      <c r="C92" s="16" t="n">
        <v>0</v>
      </c>
      <c r="D92" s="7" t="n">
        <v>0</v>
      </c>
      <c r="E92" s="17" t="n">
        <v>0.07199999999999999</v>
      </c>
      <c r="F92" s="17">
        <f>E92*'Thong tin'!$B$6</f>
        <v/>
      </c>
    </row>
    <row r="93">
      <c r="A93" s="2" t="n">
        <v>46243</v>
      </c>
      <c r="B93" s="3" t="inlineStr">
        <is>
          <t>22:45</t>
        </is>
      </c>
      <c r="C93" s="16" t="n">
        <v>0</v>
      </c>
      <c r="D93" s="7" t="n">
        <v>0</v>
      </c>
      <c r="E93" s="17" t="n">
        <v>0.07199999999999999</v>
      </c>
      <c r="F93" s="17">
        <f>E93*'Thong tin'!$B$6</f>
        <v/>
      </c>
    </row>
    <row r="94">
      <c r="A94" s="2" t="n">
        <v>46243</v>
      </c>
      <c r="B94" s="3" t="inlineStr">
        <is>
          <t>23:00</t>
        </is>
      </c>
      <c r="C94" s="16" t="n">
        <v>0</v>
      </c>
      <c r="D94" s="7" t="n">
        <v>0</v>
      </c>
      <c r="E94" s="17" t="n">
        <v>0.07199999999999999</v>
      </c>
      <c r="F94" s="17">
        <f>E94*'Thong tin'!$B$6</f>
        <v/>
      </c>
    </row>
    <row r="95">
      <c r="A95" s="2" t="n">
        <v>46243</v>
      </c>
      <c r="B95" s="3" t="inlineStr">
        <is>
          <t>23:15</t>
        </is>
      </c>
      <c r="C95" s="16" t="n">
        <v>0</v>
      </c>
      <c r="D95" s="7" t="n">
        <v>0</v>
      </c>
      <c r="E95" s="17" t="n">
        <v>0.07199999999999999</v>
      </c>
      <c r="F95" s="17">
        <f>E95*'Thong tin'!$B$6</f>
        <v/>
      </c>
    </row>
    <row r="96">
      <c r="A96" s="2" t="n">
        <v>46243</v>
      </c>
      <c r="B96" s="3" t="inlineStr">
        <is>
          <t>23:30</t>
        </is>
      </c>
      <c r="C96" s="16" t="n">
        <v>0</v>
      </c>
      <c r="D96" s="7" t="n">
        <v>0</v>
      </c>
      <c r="E96" s="17" t="n">
        <v>0.07199999999999999</v>
      </c>
      <c r="F96" s="17">
        <f>E96*'Thong tin'!$B$6</f>
        <v/>
      </c>
    </row>
    <row r="97">
      <c r="A97" s="2" t="n">
        <v>46243</v>
      </c>
      <c r="B97" s="3" t="inlineStr">
        <is>
          <t>23:45</t>
        </is>
      </c>
      <c r="C97" s="16" t="n">
        <v>0</v>
      </c>
      <c r="D97" s="7" t="n">
        <v>0</v>
      </c>
      <c r="E97" s="17" t="n">
        <v>0.07199999999999999</v>
      </c>
      <c r="F97" s="17">
        <f>E97*'Thong tin'!$B$6</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22" customWidth="1" min="3" max="3"/>
    <col width="22" customWidth="1" min="4" max="4"/>
    <col width="22" customWidth="1" min="5" max="5"/>
    <col width="22" customWidth="1" min="6" max="6"/>
    <col width="22" customWidth="1" min="7" max="7"/>
  </cols>
  <sheetData>
    <row r="1" ht="30" customHeight="1">
      <c r="A1" s="1" t="inlineStr">
        <is>
          <t>Ngay</t>
        </is>
      </c>
      <c r="B1" s="1" t="inlineStr">
        <is>
          <t>Thu</t>
        </is>
      </c>
      <c r="C1" s="1" t="inlineStr">
        <is>
          <t>ECMWF IFS 0.25 do</t>
        </is>
      </c>
      <c r="D1" s="1" t="inlineStr">
        <is>
          <t>NOAA GFS</t>
        </is>
      </c>
      <c r="E1" s="1" t="inlineStr">
        <is>
          <t>DWD ICON</t>
        </is>
      </c>
      <c r="F1" s="1" t="inlineStr">
        <is>
          <t>ECMWF AIFS (AI)</t>
        </is>
      </c>
      <c r="G1" s="1" t="inlineStr">
        <is>
          <t>Trung vi (dung)</t>
        </is>
      </c>
    </row>
    <row r="2">
      <c r="A2" s="2" t="n">
        <v>46243</v>
      </c>
      <c r="B2" s="3" t="inlineStr">
        <is>
          <t>Chu nhat</t>
        </is>
      </c>
      <c r="C2" s="4" t="n">
        <v>92.5</v>
      </c>
      <c r="D2" s="4" t="n">
        <v>72.3</v>
      </c>
      <c r="E2" s="4" t="n">
        <v>159.9</v>
      </c>
      <c r="F2" s="4" t="n">
        <v>159.4</v>
      </c>
      <c r="G2" s="4">
        <f>'Tong hop'!C2</f>
        <v/>
      </c>
    </row>
    <row r="4">
      <c r="A4" s="10" t="inlineStr">
        <is>
          <t>San luong ngay neu chi dung rieng tung nguon thoi tiet. Con so dung trong bao cao la cot Trung vi -- trung vi khong bi mot nguon chay sai keo di, khac voi trung binh cong.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2026-08-08T00:58:27Z</dcterms:created>
  <dcterms:modified xsi:type="dcterms:W3CDTF">2026-08-08T00:58:27Z</dcterms:modified>
</cp:coreProperties>
</file>